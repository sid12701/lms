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3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Vendor A - Yubi" sheetId="2" state="visible" r:id="rId2"/>
    <sheet xmlns:r="http://schemas.openxmlformats.org/officeDocument/2006/relationships" name="Vendor B - M2P" sheetId="3" state="visible" r:id="rId3"/>
    <sheet xmlns:r="http://schemas.openxmlformats.org/officeDocument/2006/relationships" name="Comparison" sheetId="4" state="visible" r:id="rId4"/>
    <sheet xmlns:r="http://schemas.openxmlformats.org/officeDocument/2006/relationships" name="Sensitivity" sheetId="5" state="visible" r:id="rId5"/>
    <sheet xmlns:r="http://schemas.openxmlformats.org/officeDocument/2006/relationships" name="Scorecard (optional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€ &quot;#,##0"/>
    <numFmt numFmtId="165" formatCode="[&gt;=10000000]&quot;₹ &quot;#,##,##,##0;[&gt;=100000]&quot;₹ &quot;#,##,##0;&quot;₹ &quot;#,##0"/>
    <numFmt numFmtId="166" formatCode="0.000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000000"/>
      <sz val="9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color rgb="00000000"/>
      <sz val="9"/>
    </font>
    <font>
      <name val="Calibri"/>
      <i val="1"/>
      <color rgb="00FFFFFF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FFF7D9"/>
      </patternFill>
    </fill>
    <fill>
      <patternFill patternType="solid">
        <fgColor rgb="00F2F2F2"/>
      </patternFill>
    </fill>
    <fill>
      <patternFill patternType="solid">
        <fgColor rgb="00D6E0F0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0" borderId="0" applyAlignment="1" pivotButton="0" quotePrefix="0" xfId="0">
      <alignment vertical="center"/>
    </xf>
    <xf numFmtId="0" fontId="3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4" fillId="0" borderId="1" applyAlignment="1" pivotButton="0" quotePrefix="0" xfId="0">
      <alignment horizontal="left" vertical="center"/>
    </xf>
    <xf numFmtId="3" fontId="5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164" fontId="5" fillId="4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4" fontId="5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164" fontId="5" fillId="5" borderId="1" applyAlignment="1" pivotButton="0" quotePrefix="0" xfId="0">
      <alignment horizontal="center" vertical="center"/>
    </xf>
    <xf numFmtId="4" fontId="5" fillId="5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/>
    </xf>
    <xf numFmtId="165" fontId="4" fillId="6" borderId="1" applyAlignment="1" pivotButton="0" quotePrefix="0" xfId="0">
      <alignment horizontal="right" vertical="center"/>
    </xf>
    <xf numFmtId="164" fontId="4" fillId="6" borderId="1" applyAlignment="1" pivotButton="0" quotePrefix="0" xfId="0">
      <alignment horizontal="right" vertical="center"/>
    </xf>
    <xf numFmtId="0" fontId="2" fillId="6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center" vertical="center"/>
    </xf>
    <xf numFmtId="165" fontId="4" fillId="7" borderId="1" applyAlignment="1" pivotButton="0" quotePrefix="0" xfId="0">
      <alignment horizontal="right" vertical="center"/>
    </xf>
    <xf numFmtId="164" fontId="4" fillId="7" borderId="1" applyAlignment="1" pivotButton="0" quotePrefix="0" xfId="0">
      <alignment horizontal="right" vertical="center"/>
    </xf>
    <xf numFmtId="0" fontId="2" fillId="7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right" vertical="center"/>
    </xf>
    <xf numFmtId="164" fontId="5" fillId="5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4" fontId="5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vertical="center"/>
    </xf>
    <xf numFmtId="0" fontId="5" fillId="6" borderId="1" applyAlignment="1" pivotButton="0" quotePrefix="0" xfId="0">
      <alignment vertical="center"/>
    </xf>
    <xf numFmtId="4" fontId="5" fillId="6" borderId="1" applyAlignment="1" pivotButton="0" quotePrefix="0" xfId="0">
      <alignment horizontal="right" vertical="center"/>
    </xf>
    <xf numFmtId="0" fontId="2" fillId="6" borderId="1" applyAlignment="1" pivotButton="0" quotePrefix="0" xfId="0">
      <alignment horizontal="left" vertical="center"/>
    </xf>
    <xf numFmtId="164" fontId="5" fillId="7" borderId="1" applyAlignment="1" pivotButton="0" quotePrefix="0" xfId="0">
      <alignment horizontal="right" vertical="center"/>
    </xf>
    <xf numFmtId="0" fontId="4" fillId="8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center" vertical="center"/>
    </xf>
    <xf numFmtId="165" fontId="4" fillId="8" borderId="1" applyAlignment="1" pivotButton="0" quotePrefix="0" xfId="0">
      <alignment horizontal="right" vertical="center"/>
    </xf>
    <xf numFmtId="164" fontId="4" fillId="8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4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vertical="center"/>
    </xf>
    <xf numFmtId="0" fontId="5" fillId="7" borderId="1" applyAlignment="1" pivotButton="0" quotePrefix="0" xfId="0">
      <alignment vertical="center"/>
    </xf>
    <xf numFmtId="4" fontId="4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F2CC"/>
    <outlinePr summaryBelow="1" summaryRight="1"/>
    <pageSetUpPr/>
  </sheetPr>
  <dimension ref="A1:C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6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ASSUMPTIONS &amp; INPUTS  —  edit the shaded cells; everything else recalculates</t>
        </is>
      </c>
      <c r="B1" s="2" t="n"/>
      <c r="C1" s="2" t="n"/>
    </row>
    <row r="2">
      <c r="A2" s="3" t="inlineStr">
        <is>
          <t>Yubi vs M2P  ·  Bhawana Finance LMS  ·  €100M/yr portfolio (annual disbursal)</t>
        </is>
      </c>
    </row>
    <row r="4">
      <c r="A4" s="4" t="inlineStr">
        <is>
          <t>GLOBAL INPUTS  (editable)</t>
        </is>
      </c>
      <c r="B4" s="5" t="n"/>
      <c r="C4" s="5" t="n"/>
    </row>
    <row r="5">
      <c r="A5" s="6" t="inlineStr">
        <is>
          <t>FX rate  —  INR per €1</t>
        </is>
      </c>
      <c r="B5" s="7" t="n">
        <v>90</v>
      </c>
      <c r="C5" s="8" t="inlineStr">
        <is>
          <t>Your booking/hedge rate. Template used 100. Drives every € figure.</t>
        </is>
      </c>
    </row>
    <row r="6">
      <c r="A6" s="6" t="inlineStr">
        <is>
          <t>Annual disbursal  (€)</t>
        </is>
      </c>
      <c r="B6" s="9" t="n">
        <v>100000000</v>
      </c>
      <c r="C6" s="8" t="inlineStr">
        <is>
          <t>€100M/yr = total disbursed per year (the agreed portfolio basis).</t>
        </is>
      </c>
    </row>
    <row r="7">
      <c r="A7" s="6" t="inlineStr">
        <is>
          <t>Annual disbursal  (₹)</t>
        </is>
      </c>
      <c r="B7" s="10">
        <f>B6*B5</f>
        <v/>
      </c>
      <c r="C7" s="8" t="inlineStr">
        <is>
          <t>Auto = annual disbursal € × FX.</t>
        </is>
      </c>
    </row>
    <row r="8">
      <c r="A8" s="6" t="inlineStr">
        <is>
          <t>Average loan tenor  (months)</t>
        </is>
      </c>
      <c r="B8" s="7" t="n">
        <v>6</v>
      </c>
      <c r="C8" s="8" t="inlineStr">
        <is>
          <t>Agreed 3–6 mo. Bridges disbursal→AUM for M2P. Try 3 and 6.</t>
        </is>
      </c>
    </row>
    <row r="9">
      <c r="A9" s="6" t="inlineStr">
        <is>
          <t>Avg outstanding factor (book ÷ principal)</t>
        </is>
      </c>
      <c r="B9" s="11" t="n">
        <v>1</v>
      </c>
      <c r="C9" s="8" t="inlineStr">
        <is>
          <t>1.0 = bullet (principal on book full tenor). ~0.55 = amortising EMI book.</t>
        </is>
      </c>
    </row>
    <row r="10">
      <c r="A10" s="6" t="inlineStr">
        <is>
          <t>Number of LSPs / partners live</t>
        </is>
      </c>
      <c r="B10" s="7" t="n">
        <v>3</v>
      </c>
      <c r="C10" s="8" t="inlineStr">
        <is>
          <t>Yubi: first 3 free. M2P floor jumps to ₹4L once &gt;1 LSP.</t>
        </is>
      </c>
    </row>
    <row r="11">
      <c r="A11" s="6" t="inlineStr">
        <is>
          <t>Yubi free LSPs (no partnership fee)</t>
        </is>
      </c>
      <c r="B11" s="7" t="n">
        <v>3</v>
      </c>
      <c r="C11" s="8" t="inlineStr">
        <is>
          <t>Yubi waives partnership fee for the first 3 LSPs.</t>
        </is>
      </c>
    </row>
    <row r="12">
      <c r="A12" s="6" t="inlineStr">
        <is>
          <t>Time horizon  (years)</t>
        </is>
      </c>
      <c r="B12" s="7" t="n">
        <v>3</v>
      </c>
      <c r="C12" s="8" t="inlineStr">
        <is>
          <t>Drives 3-year TCO. M2P has a 36-month lock-in.</t>
        </is>
      </c>
    </row>
    <row r="13">
      <c r="A13" s="6" t="inlineStr">
        <is>
          <t>Include M2P one-time in totals?  (1=yes / 0=no)</t>
        </is>
      </c>
      <c r="B13" s="7" t="n">
        <v>1</v>
      </c>
      <c r="C13" s="8" t="inlineStr">
        <is>
          <t>M2P ₹55L is stated 'Paid by Meesho' (LSP). 0 = Bhawana-net view.</t>
        </is>
      </c>
    </row>
    <row r="14">
      <c r="A14" s="6" t="inlineStr">
        <is>
          <t>Yubi change-request man-days (Year 1)</t>
        </is>
      </c>
      <c r="B14" s="7" t="n">
        <v>0</v>
      </c>
      <c r="C14" s="8" t="inlineStr">
        <is>
          <t>₹20,000/man-day. Optional; default 0 (billed on actuals).</t>
        </is>
      </c>
    </row>
    <row r="15">
      <c r="A15" s="6" t="inlineStr">
        <is>
          <t>M2P customization man-days (Year 1)</t>
        </is>
      </c>
      <c r="B15" s="7" t="n">
        <v>0</v>
      </c>
      <c r="C15" s="8" t="inlineStr">
        <is>
          <t>₹17,000/man-day. Optional; default 0 (billed on actuals).</t>
        </is>
      </c>
    </row>
    <row r="17">
      <c r="A17" s="4" t="inlineStr">
        <is>
          <t>DERIVED VALUES  (auto-calculated)</t>
        </is>
      </c>
      <c r="B17" s="5" t="n"/>
      <c r="C17" s="5" t="n"/>
    </row>
    <row r="18">
      <c r="A18" s="12" t="inlineStr">
        <is>
          <t>Monthly disbursal  (€)</t>
        </is>
      </c>
      <c r="B18" s="13">
        <f>B6/12</f>
        <v/>
      </c>
      <c r="C18" s="8">
        <f> annual ÷ 12.</f>
        <v/>
      </c>
    </row>
    <row r="19">
      <c r="A19" s="12" t="inlineStr">
        <is>
          <t>Monthly disbursal  (₹)</t>
        </is>
      </c>
      <c r="B19" s="10">
        <f>B7/12</f>
        <v/>
      </c>
      <c r="C19" s="8">
        <f> annual ÷ 12.</f>
        <v/>
      </c>
    </row>
    <row r="20">
      <c r="A20" s="12" t="inlineStr">
        <is>
          <t>Average AUM / book  (€)</t>
        </is>
      </c>
      <c r="B20" s="13">
        <f>B6*(B8/12)*B9</f>
        <v/>
      </c>
      <c r="C20" s="8">
        <f> disbursal × (tenor/12) × outstanding factor.</f>
        <v/>
      </c>
    </row>
    <row r="21">
      <c r="A21" s="12" t="inlineStr">
        <is>
          <t>Average AUM / book  (₹)</t>
        </is>
      </c>
      <c r="B21" s="10">
        <f>B7*(B8/12)*B9</f>
        <v/>
      </c>
      <c r="C21" s="8">
        <f> disbursal × (tenor/12) × outstanding factor.</f>
        <v/>
      </c>
    </row>
    <row r="22">
      <c r="A22" s="12" t="inlineStr">
        <is>
          <t>Average AUM  (₹ Cr)</t>
        </is>
      </c>
      <c r="B22" s="14">
        <f>B21/10000000</f>
        <v/>
      </c>
      <c r="C22" s="8" t="inlineStr">
        <is>
          <t>Used for M2P fill-a-tier SaaS (1 Cr = ₹10,000,000).</t>
        </is>
      </c>
    </row>
    <row r="23">
      <c r="A23" s="12" t="inlineStr">
        <is>
          <t>M2P monthly minimum floor  (₹)</t>
        </is>
      </c>
      <c r="B23" s="10">
        <f>IF(B10&gt;1,400000,150000)</f>
        <v/>
      </c>
      <c r="C23" s="8" t="inlineStr">
        <is>
          <t>₹4L multi-LSP / ₹1.5L Meesho-only, whichever &gt; computed SaaS.</t>
        </is>
      </c>
    </row>
  </sheetData>
  <mergeCells count="3">
    <mergeCell ref="A1:C1"/>
    <mergeCell ref="A4:C4"/>
    <mergeCell ref="A17:C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5496"/>
    <outlinePr summaryBelow="1" summaryRight="1"/>
    <pageSetUpPr/>
  </sheetPr>
  <dimension ref="A1:E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26" customWidth="1" min="2" max="2"/>
    <col width="18" customWidth="1" min="3" max="3"/>
    <col width="16" customWidth="1" min="4" max="4"/>
    <col width="46" customWidth="1" min="5" max="5"/>
  </cols>
  <sheetData>
    <row r="1">
      <c r="A1" s="1" t="inlineStr">
        <is>
          <t>VENDOR A  —  YUBI  (CredAvenue Pvt Ltd)   ·   LMS Commercial   ·   dated 15-Jun-2026</t>
        </is>
      </c>
      <c r="B1" s="2" t="n"/>
      <c r="C1" s="2" t="n"/>
      <c r="D1" s="2" t="n"/>
      <c r="E1" s="2" t="n"/>
    </row>
    <row r="3">
      <c r="A3" s="15" t="inlineStr">
        <is>
          <t>Fee item</t>
        </is>
      </c>
      <c r="B3" s="15" t="inlineStr">
        <is>
          <t>Frequency / basis</t>
        </is>
      </c>
      <c r="C3" s="15" t="inlineStr">
        <is>
          <t>Amount (₹)</t>
        </is>
      </c>
      <c r="D3" s="15" t="inlineStr">
        <is>
          <t>Amount (€)</t>
        </is>
      </c>
      <c r="E3" s="15" t="inlineStr">
        <is>
          <t>Notes</t>
        </is>
      </c>
    </row>
    <row r="4">
      <c r="A4" s="4" t="inlineStr">
        <is>
          <t>ONE-TIME FEES  (paid by Bhawana Finance)</t>
        </is>
      </c>
      <c r="B4" s="5" t="n"/>
      <c r="C4" s="5" t="n"/>
      <c r="D4" s="5" t="n"/>
      <c r="E4" s="5" t="n"/>
    </row>
    <row r="5">
      <c r="A5" s="16" t="inlineStr">
        <is>
          <t>Onboarding / system integration</t>
        </is>
      </c>
      <c r="B5" s="17" t="inlineStr">
        <is>
          <t>one-time</t>
        </is>
      </c>
      <c r="C5" s="18" t="n">
        <v>5000000</v>
      </c>
      <c r="D5" s="19">
        <f>C5/Assumptions!$B$5</f>
        <v/>
      </c>
      <c r="E5" s="8" t="inlineStr">
        <is>
          <t>₹75L list price − ₹25L flat discount. Invoiced on finalisation.</t>
        </is>
      </c>
    </row>
    <row r="6">
      <c r="A6" s="16" t="inlineStr">
        <is>
          <t>Yu – Reporting fee</t>
        </is>
      </c>
      <c r="B6" s="17" t="inlineStr">
        <is>
          <t>one-time</t>
        </is>
      </c>
      <c r="C6" s="18" t="n">
        <v>1500000</v>
      </c>
      <c r="D6" s="19">
        <f>C6/Assumptions!$B$5</f>
        <v/>
      </c>
      <c r="E6" s="8" t="inlineStr">
        <is>
          <t>Valid for the entire association. Invoiced with onboarding.</t>
        </is>
      </c>
    </row>
    <row r="7">
      <c r="A7" s="16" t="inlineStr">
        <is>
          <t>Alert Management fee</t>
        </is>
      </c>
      <c r="B7" s="17" t="inlineStr">
        <is>
          <t>one-time</t>
        </is>
      </c>
      <c r="C7" s="18" t="n">
        <v>1000000</v>
      </c>
      <c r="D7" s="19">
        <f>C7/Assumptions!$B$5</f>
        <v/>
      </c>
      <c r="E7" s="8" t="inlineStr">
        <is>
          <t>Valid for the entire association. Invoiced with onboarding.</t>
        </is>
      </c>
    </row>
    <row r="8">
      <c r="A8" s="16" t="inlineStr">
        <is>
          <t>Partnership fee (LSPs beyond free tier)</t>
        </is>
      </c>
      <c r="B8" s="17" t="inlineStr">
        <is>
          <t>one-time per LSP &gt; 3</t>
        </is>
      </c>
      <c r="C8" s="18">
        <f>500000*MAX(0,Assumptions!$B$10-Assumptions!$B$11)</f>
        <v/>
      </c>
      <c r="D8" s="19">
        <f>C8/Assumptions!$B$5</f>
        <v/>
      </c>
      <c r="E8" s="8" t="inlineStr">
        <is>
          <t>First 3 LSPs waived; ₹5L per LSP thereafter, at each go-live.</t>
        </is>
      </c>
    </row>
    <row r="9">
      <c r="A9" s="20" t="inlineStr">
        <is>
          <t>Subtotal — one-time</t>
        </is>
      </c>
      <c r="B9" s="21" t="inlineStr"/>
      <c r="C9" s="22">
        <f>SUM(C5:C8)</f>
        <v/>
      </c>
      <c r="D9" s="23">
        <f>C9/Assumptions!$B$5</f>
        <v/>
      </c>
      <c r="E9" s="24" t="inlineStr"/>
    </row>
    <row r="11">
      <c r="A11" s="4" t="inlineStr">
        <is>
          <t>RECURRING FEES  (per year)</t>
        </is>
      </c>
      <c r="B11" s="5" t="n"/>
      <c r="C11" s="5" t="n"/>
      <c r="D11" s="5" t="n"/>
      <c r="E11" s="5" t="n"/>
    </row>
    <row r="12">
      <c r="A12" s="16" t="inlineStr">
        <is>
          <t>Annual Maintenance Fee (AMC)</t>
        </is>
      </c>
      <c r="B12" s="17" t="inlineStr">
        <is>
          <t>per year</t>
        </is>
      </c>
      <c r="C12" s="18" t="n">
        <v>1000000</v>
      </c>
      <c r="D12" s="19">
        <f>C12/Assumptions!$B$5</f>
        <v/>
      </c>
      <c r="E12" s="8" t="inlineStr">
        <is>
          <t>Year-1 invoiced upfront with onboarding; then annually.</t>
        </is>
      </c>
    </row>
    <row r="13">
      <c r="A13" s="16" t="inlineStr">
        <is>
          <t>Platform fee — 0.20% of disbursal</t>
        </is>
      </c>
      <c r="B13" s="17" t="inlineStr">
        <is>
          <t>per year</t>
        </is>
      </c>
      <c r="C13" s="18">
        <f>0.002*Assumptions!$B$7</f>
        <v/>
      </c>
      <c r="D13" s="19">
        <f>C13/Assumptions!$B$5</f>
        <v/>
      </c>
      <c r="E13" s="8" t="inlineStr">
        <is>
          <t>0.20%/mo on monthly disbursals = 0.20% × annual disbursal. Tenor-independent.</t>
        </is>
      </c>
    </row>
    <row r="14">
      <c r="A14" s="20" t="inlineStr">
        <is>
          <t>Subtotal — recurring / year</t>
        </is>
      </c>
      <c r="B14" s="21" t="inlineStr"/>
      <c r="C14" s="22">
        <f>SUM(C12:C13)</f>
        <v/>
      </c>
      <c r="D14" s="23">
        <f>C14/Assumptions!$B$5</f>
        <v/>
      </c>
      <c r="E14" s="24" t="inlineStr"/>
    </row>
    <row r="16">
      <c r="A16" s="4" t="inlineStr">
        <is>
          <t>VARIABLE / BILLED ON ACTUALS  (excluded from totals unless man-days entered)</t>
        </is>
      </c>
      <c r="B16" s="5" t="n"/>
      <c r="C16" s="5" t="n"/>
      <c r="D16" s="5" t="n"/>
      <c r="E16" s="5" t="n"/>
    </row>
    <row r="17">
      <c r="A17" s="16" t="inlineStr">
        <is>
          <t>AA / other 3rd-party API billing</t>
        </is>
      </c>
      <c r="B17" s="17" t="inlineStr">
        <is>
          <t>on actuals</t>
        </is>
      </c>
      <c r="C17" s="25" t="inlineStr">
        <is>
          <t>Pass-through</t>
        </is>
      </c>
      <c r="D17" s="25" t="inlineStr">
        <is>
          <t>Pass-through</t>
        </is>
      </c>
      <c r="E17" s="8" t="inlineStr">
        <is>
          <t>Excluded — depends on consumption.</t>
        </is>
      </c>
    </row>
    <row r="18">
      <c r="A18" s="16" t="inlineStr">
        <is>
          <t>Change-request development</t>
        </is>
      </c>
      <c r="B18" s="17" t="inlineStr">
        <is>
          <t>₹20,000 / man-day</t>
        </is>
      </c>
      <c r="C18" s="18">
        <f>20000*Assumptions!$B$14</f>
        <v/>
      </c>
      <c r="D18" s="19">
        <f>C18/Assumptions!$B$5</f>
        <v/>
      </c>
      <c r="E18" s="8" t="inlineStr">
        <is>
          <t>Year-1 estimate from man-days input. 8-hr day per resource.</t>
        </is>
      </c>
    </row>
    <row r="20">
      <c r="A20" s="4" t="inlineStr">
        <is>
          <t>TOTALS</t>
        </is>
      </c>
      <c r="B20" s="5" t="n"/>
      <c r="C20" s="5" t="n"/>
      <c r="D20" s="5" t="n"/>
      <c r="E20" s="5" t="n"/>
    </row>
    <row r="21">
      <c r="A21" s="26" t="inlineStr">
        <is>
          <t>YEAR 1  (one-time + recurring + CR)</t>
        </is>
      </c>
      <c r="B21" s="27" t="inlineStr">
        <is>
          <t>Year 1</t>
        </is>
      </c>
      <c r="C21" s="28">
        <f>C9+C14+C18</f>
        <v/>
      </c>
      <c r="D21" s="29">
        <f>C21/Assumptions!$B$5</f>
        <v/>
      </c>
      <c r="E21" s="30" t="inlineStr"/>
    </row>
    <row r="22">
      <c r="A22" s="31" t="inlineStr">
        <is>
          <t>Year 2  (recurring)</t>
        </is>
      </c>
      <c r="B22" s="32" t="inlineStr">
        <is>
          <t>Year 2</t>
        </is>
      </c>
      <c r="C22" s="33">
        <f>C14</f>
        <v/>
      </c>
      <c r="D22" s="34">
        <f>C22/Assumptions!$B$5</f>
        <v/>
      </c>
      <c r="E22" s="35" t="inlineStr"/>
    </row>
    <row r="23">
      <c r="A23" s="31" t="inlineStr">
        <is>
          <t>Year 3  (recurring)</t>
        </is>
      </c>
      <c r="B23" s="32" t="inlineStr">
        <is>
          <t>Year 3</t>
        </is>
      </c>
      <c r="C23" s="33">
        <f>C14</f>
        <v/>
      </c>
      <c r="D23" s="34">
        <f>C23/Assumptions!$B$5</f>
        <v/>
      </c>
      <c r="E23" s="35" t="inlineStr"/>
    </row>
    <row r="24">
      <c r="A24" s="26" t="inlineStr">
        <is>
          <t>3-YEAR TCO</t>
        </is>
      </c>
      <c r="B24" s="27">
        <f> horizon</f>
        <v/>
      </c>
      <c r="C24" s="28">
        <f>C9+C14*Assumptions!$B$12+C18</f>
        <v/>
      </c>
      <c r="D24" s="29">
        <f>C24/Assumptions!$B$5</f>
        <v/>
      </c>
      <c r="E24" s="30" t="inlineStr">
        <is>
          <t>One-time + recurring × years (+ CR Yr1).</t>
        </is>
      </c>
    </row>
  </sheetData>
  <mergeCells count="5">
    <mergeCell ref="A4:E4"/>
    <mergeCell ref="A20:E20"/>
    <mergeCell ref="A16:E16"/>
    <mergeCell ref="A11:E11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00000"/>
    <outlinePr summaryBelow="1" summaryRight="1"/>
    <pageSetUpPr/>
  </sheetPr>
  <dimension ref="A1:E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26" customWidth="1" min="2" max="2"/>
    <col width="18" customWidth="1" min="3" max="3"/>
    <col width="16" customWidth="1" min="4" max="4"/>
    <col width="46" customWidth="1" min="5" max="5"/>
  </cols>
  <sheetData>
    <row r="1">
      <c r="A1" s="1" t="inlineStr">
        <is>
          <t>VENDOR B  —  M2P FINTECH (Finflux)   ·   LoS+BRE+LMS Commercial   ·   dated 24-Jun-2026</t>
        </is>
      </c>
      <c r="B1" s="2" t="n"/>
      <c r="C1" s="2" t="n"/>
      <c r="D1" s="2" t="n"/>
      <c r="E1" s="2" t="n"/>
    </row>
    <row r="3">
      <c r="A3" s="15" t="inlineStr">
        <is>
          <t>Fee item</t>
        </is>
      </c>
      <c r="B3" s="15" t="inlineStr">
        <is>
          <t>Frequency / basis</t>
        </is>
      </c>
      <c r="C3" s="15" t="inlineStr">
        <is>
          <t>Amount (₹)</t>
        </is>
      </c>
      <c r="D3" s="15" t="inlineStr">
        <is>
          <t>Amount (€)</t>
        </is>
      </c>
      <c r="E3" s="15" t="inlineStr">
        <is>
          <t>Notes</t>
        </is>
      </c>
    </row>
    <row r="4">
      <c r="A4" s="4" t="inlineStr">
        <is>
          <t>ONE-TIME FEES</t>
        </is>
      </c>
      <c r="B4" s="5" t="n"/>
      <c r="C4" s="5" t="n"/>
      <c r="D4" s="5" t="n"/>
      <c r="E4" s="5" t="n"/>
    </row>
    <row r="5">
      <c r="A5" s="16" t="inlineStr">
        <is>
          <t>Implementation (LoS + BRE + LMS setup)</t>
        </is>
      </c>
      <c r="B5" s="17" t="inlineStr">
        <is>
          <t>one-time @ LOI/PO</t>
        </is>
      </c>
      <c r="C5" s="18" t="n">
        <v>5500000</v>
      </c>
      <c r="D5" s="19">
        <f>C5/Assumptions!$B$5</f>
        <v/>
      </c>
      <c r="E5" s="8" t="inlineStr">
        <is>
          <t>Quote states 'Paid by Meesho' (the LSP), not Bhawana. 100% at LOI/PO.</t>
        </is>
      </c>
    </row>
    <row r="6">
      <c r="A6" s="20" t="inlineStr">
        <is>
          <t>One-time counted in totals (toggle)</t>
        </is>
      </c>
      <c r="B6" s="21" t="inlineStr">
        <is>
          <t>toggle-applied</t>
        </is>
      </c>
      <c r="C6" s="22">
        <f>IF(Assumptions!$B$13=1,C5,0)</f>
        <v/>
      </c>
      <c r="D6" s="23">
        <f>C6/Assumptions!$B$5</f>
        <v/>
      </c>
      <c r="E6" s="24" t="inlineStr">
        <is>
          <t>Set Assumptions 'Include M2P one-time' = 0 for the Bhawana-net view.</t>
        </is>
      </c>
    </row>
    <row r="8">
      <c r="A8" s="4" t="inlineStr">
        <is>
          <t>MONTHLY SaaS FEE  —  fill-a-tier (marginal slabs) on average AUM</t>
        </is>
      </c>
      <c r="B8" s="5" t="n"/>
      <c r="C8" s="5" t="n"/>
      <c r="D8" s="5" t="n"/>
      <c r="E8" s="5" t="n"/>
    </row>
    <row r="9">
      <c r="A9" s="36" t="inlineStr">
        <is>
          <t>AUM slab (₹ Cr)</t>
        </is>
      </c>
      <c r="B9" s="36" t="inlineStr">
        <is>
          <t>Marginal rate / month</t>
        </is>
      </c>
      <c r="C9" s="36" t="inlineStr">
        <is>
          <t>Monthly fee (₹)</t>
        </is>
      </c>
      <c r="D9" s="36" t="inlineStr">
        <is>
          <t>AUM in slab (₹ Cr)</t>
        </is>
      </c>
      <c r="E9" s="37" t="inlineStr">
        <is>
          <t>1 Cr = ₹10,000,000</t>
        </is>
      </c>
    </row>
    <row r="10">
      <c r="A10" s="16" t="inlineStr">
        <is>
          <t>First 250</t>
        </is>
      </c>
      <c r="B10" s="38" t="n">
        <v>0.00025</v>
      </c>
      <c r="C10" s="18">
        <f>D10*10000000*B10</f>
        <v/>
      </c>
      <c r="D10" s="39">
        <f>MAX(0,MIN(Assumptions!$B$22,250))</f>
        <v/>
      </c>
      <c r="E10" s="40" t="inlineStr"/>
    </row>
    <row r="11">
      <c r="A11" s="16" t="inlineStr">
        <is>
          <t>250 – 750</t>
        </is>
      </c>
      <c r="B11" s="38" t="n">
        <v>0.000225</v>
      </c>
      <c r="C11" s="18">
        <f>D11*10000000*B11</f>
        <v/>
      </c>
      <c r="D11" s="39">
        <f>MAX(0,MIN(Assumptions!$B$22,750)-250)</f>
        <v/>
      </c>
      <c r="E11" s="40" t="inlineStr"/>
    </row>
    <row r="12">
      <c r="A12" s="16" t="inlineStr">
        <is>
          <t>750 – 1,500</t>
        </is>
      </c>
      <c r="B12" s="38" t="n">
        <v>0.000175</v>
      </c>
      <c r="C12" s="18">
        <f>D12*10000000*B12</f>
        <v/>
      </c>
      <c r="D12" s="39">
        <f>MAX(0,MIN(Assumptions!$B$22,1500)-750)</f>
        <v/>
      </c>
      <c r="E12" s="40" t="inlineStr"/>
    </row>
    <row r="13">
      <c r="A13" s="16" t="inlineStr">
        <is>
          <t>1,500 – 2,500</t>
        </is>
      </c>
      <c r="B13" s="38" t="n">
        <v>0.000125</v>
      </c>
      <c r="C13" s="18">
        <f>D13*10000000*B13</f>
        <v/>
      </c>
      <c r="D13" s="39">
        <f>MAX(0,MIN(Assumptions!$B$22,2500)-1500)</f>
        <v/>
      </c>
      <c r="E13" s="40" t="inlineStr"/>
    </row>
    <row r="14">
      <c r="A14" s="16" t="inlineStr">
        <is>
          <t>Above 2,500</t>
        </is>
      </c>
      <c r="B14" s="38" t="n">
        <v>8.500000000000001e-05</v>
      </c>
      <c r="C14" s="18">
        <f>D14*10000000*B14</f>
        <v/>
      </c>
      <c r="D14" s="39">
        <f>MAX(0,Assumptions!$B$22-2500)</f>
        <v/>
      </c>
      <c r="E14" s="40" t="inlineStr"/>
    </row>
    <row r="15">
      <c r="A15" s="20" t="inlineStr">
        <is>
          <t>Computed monthly SaaS</t>
        </is>
      </c>
      <c r="B15" s="41" t="inlineStr"/>
      <c r="C15" s="22">
        <f>SUM(C10:C14)</f>
        <v/>
      </c>
      <c r="D15" s="42">
        <f>SUM(D10:D14)</f>
        <v/>
      </c>
      <c r="E15" s="43" t="inlineStr">
        <is>
          <t>Σ slab fees  (total AUM in col D)</t>
        </is>
      </c>
    </row>
    <row r="16">
      <c r="A16" s="16" t="inlineStr">
        <is>
          <t>Monthly minimum floor</t>
        </is>
      </c>
      <c r="B16" s="17" t="inlineStr">
        <is>
          <t>per month</t>
        </is>
      </c>
      <c r="C16" s="18">
        <f>Assumptions!$B$23</f>
        <v/>
      </c>
      <c r="D16" s="40" t="inlineStr"/>
      <c r="E16" s="8" t="inlineStr">
        <is>
          <t>₹4L multi-LSP / ₹1.5L Meesho-only.</t>
        </is>
      </c>
    </row>
    <row r="17">
      <c r="A17" s="26" t="inlineStr">
        <is>
          <t>Monthly recurring fee (billed)</t>
        </is>
      </c>
      <c r="B17" s="27" t="inlineStr">
        <is>
          <t>per month</t>
        </is>
      </c>
      <c r="C17" s="28">
        <f>MAX(C15,C16)</f>
        <v/>
      </c>
      <c r="D17" s="44">
        <f>C17/Assumptions!$B$5</f>
        <v/>
      </c>
      <c r="E17" s="30" t="inlineStr">
        <is>
          <t>Higher of computed SaaS vs floor.</t>
        </is>
      </c>
    </row>
    <row r="19">
      <c r="A19" s="4" t="inlineStr">
        <is>
          <t>RECURRING FEES  (per year)</t>
        </is>
      </c>
      <c r="B19" s="5" t="n"/>
      <c r="C19" s="5" t="n"/>
      <c r="D19" s="5" t="n"/>
      <c r="E19" s="5" t="n"/>
    </row>
    <row r="20">
      <c r="A20" s="16" t="inlineStr">
        <is>
          <t>Annual SaaS / platform fee</t>
        </is>
      </c>
      <c r="B20" s="17" t="inlineStr">
        <is>
          <t>per year</t>
        </is>
      </c>
      <c r="C20" s="18">
        <f>12*C17</f>
        <v/>
      </c>
      <c r="D20" s="19">
        <f>C20/Assumptions!$B$5</f>
        <v/>
      </c>
      <c r="E20" s="8">
        <f> 12 × monthly recurring fee above.</f>
        <v/>
      </c>
    </row>
    <row r="21">
      <c r="A21" s="20" t="inlineStr">
        <is>
          <t>Subtotal — recurring / year</t>
        </is>
      </c>
      <c r="B21" s="21" t="inlineStr"/>
      <c r="C21" s="22">
        <f>C20</f>
        <v/>
      </c>
      <c r="D21" s="23">
        <f>C21/Assumptions!$B$5</f>
        <v/>
      </c>
      <c r="E21" s="24" t="inlineStr"/>
    </row>
    <row r="23">
      <c r="A23" s="4" t="inlineStr">
        <is>
          <t>VARIABLE / BILLED ON ACTUALS  (excluded unless entered)</t>
        </is>
      </c>
      <c r="B23" s="5" t="n"/>
      <c r="C23" s="5" t="n"/>
      <c r="D23" s="5" t="n"/>
      <c r="E23" s="5" t="n"/>
    </row>
    <row r="24">
      <c r="A24" s="16" t="inlineStr">
        <is>
          <t>Customization / new reports</t>
        </is>
      </c>
      <c r="B24" s="17" t="inlineStr">
        <is>
          <t>₹17,000 / man-day</t>
        </is>
      </c>
      <c r="C24" s="18">
        <f>17000*Assumptions!$B$15</f>
        <v/>
      </c>
      <c r="D24" s="19">
        <f>C24/Assumptions!$B$5</f>
        <v/>
      </c>
      <c r="E24" s="8" t="inlineStr">
        <is>
          <t>Anything beyond the standard pack. Year-1 estimate from man-days.</t>
        </is>
      </c>
    </row>
    <row r="25">
      <c r="A25" s="16" t="inlineStr">
        <is>
          <t>SMS / cloud telephony</t>
        </is>
      </c>
      <c r="B25" s="17" t="inlineStr">
        <is>
          <t>on actuals</t>
        </is>
      </c>
      <c r="C25" s="25" t="inlineStr">
        <is>
          <t>Pass-through</t>
        </is>
      </c>
      <c r="D25" s="25" t="inlineStr">
        <is>
          <t>Pass-through</t>
        </is>
      </c>
      <c r="E25" s="8" t="inlineStr">
        <is>
          <t>Extra if opted, as applicable.</t>
        </is>
      </c>
    </row>
    <row r="27">
      <c r="A27" s="4" t="inlineStr">
        <is>
          <t>TOTALS</t>
        </is>
      </c>
      <c r="B27" s="5" t="n"/>
      <c r="C27" s="5" t="n"/>
      <c r="D27" s="5" t="n"/>
      <c r="E27" s="5" t="n"/>
    </row>
    <row r="28">
      <c r="A28" s="26" t="inlineStr">
        <is>
          <t>YEAR 1  (one-time + recurring + cust.)</t>
        </is>
      </c>
      <c r="B28" s="27" t="inlineStr">
        <is>
          <t>Year 1</t>
        </is>
      </c>
      <c r="C28" s="28">
        <f>C6+C21+C24</f>
        <v/>
      </c>
      <c r="D28" s="29">
        <f>C28/Assumptions!$B$5</f>
        <v/>
      </c>
      <c r="E28" s="30" t="inlineStr"/>
    </row>
    <row r="29">
      <c r="A29" s="31" t="inlineStr">
        <is>
          <t>Year 2  (recurring)</t>
        </is>
      </c>
      <c r="B29" s="32" t="inlineStr">
        <is>
          <t>Year 2</t>
        </is>
      </c>
      <c r="C29" s="33">
        <f>C21</f>
        <v/>
      </c>
      <c r="D29" s="34">
        <f>C29/Assumptions!$B$5</f>
        <v/>
      </c>
      <c r="E29" s="35" t="inlineStr"/>
    </row>
    <row r="30">
      <c r="A30" s="31" t="inlineStr">
        <is>
          <t>Year 3  (recurring)</t>
        </is>
      </c>
      <c r="B30" s="32" t="inlineStr">
        <is>
          <t>Year 3</t>
        </is>
      </c>
      <c r="C30" s="33">
        <f>C21</f>
        <v/>
      </c>
      <c r="D30" s="34">
        <f>C30/Assumptions!$B$5</f>
        <v/>
      </c>
      <c r="E30" s="35" t="inlineStr"/>
    </row>
    <row r="31">
      <c r="A31" s="26" t="inlineStr">
        <is>
          <t>3-YEAR TCO</t>
        </is>
      </c>
      <c r="B31" s="27">
        <f> horizon</f>
        <v/>
      </c>
      <c r="C31" s="28">
        <f>C6+C21*Assumptions!$B$12+C24</f>
        <v/>
      </c>
      <c r="D31" s="29">
        <f>C31/Assumptions!$B$5</f>
        <v/>
      </c>
      <c r="E31" s="30" t="inlineStr">
        <is>
          <t>Incl. one-time only if toggle=1. 36-mo lock-in.</t>
        </is>
      </c>
    </row>
  </sheetData>
  <mergeCells count="6">
    <mergeCell ref="A4:E4"/>
    <mergeCell ref="A19:E19"/>
    <mergeCell ref="A1:E1"/>
    <mergeCell ref="A23:E23"/>
    <mergeCell ref="A8:E8"/>
    <mergeCell ref="A27:E2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AD47"/>
    <outlinePr summaryBelow="1" summaryRight="1"/>
    <pageSetUpPr/>
  </sheetPr>
  <dimension ref="A1:E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2" customWidth="1" min="2" max="2"/>
    <col width="20" customWidth="1" min="3" max="3"/>
    <col width="20" customWidth="1" min="4" max="4"/>
    <col width="16" customWidth="1" min="5" max="5"/>
    <col width="2" customWidth="1" min="6" max="6"/>
    <col width="1" customWidth="1" min="7" max="7"/>
  </cols>
  <sheetData>
    <row r="1">
      <c r="A1" s="1" t="inlineStr">
        <is>
          <t>VENDOR PRICING COMPARISON  —  Yubi (A) vs M2P (B)  ·  €100M/yr disbursal</t>
        </is>
      </c>
      <c r="B1" s="2" t="n"/>
      <c r="C1" s="2" t="n"/>
      <c r="D1" s="2" t="n"/>
      <c r="E1" s="2" t="n"/>
    </row>
    <row r="3">
      <c r="A3" s="4" t="inlineStr">
        <is>
          <t>HEADLINE  (recalculates with your assumptions)</t>
        </is>
      </c>
      <c r="B3" s="5" t="n"/>
      <c r="C3" s="5" t="n"/>
      <c r="D3" s="5" t="n"/>
      <c r="E3" s="5" t="n"/>
    </row>
    <row r="4">
      <c r="A4" s="45" t="inlineStr">
        <is>
          <t>Lower 3-year TCO</t>
        </is>
      </c>
      <c r="B4" s="46">
        <f>IF('Vendor A - Yubi'!$C$24&lt;'Vendor B - M2P'!$C$31,"Yubi (Vendor A)","M2P (Vendor B)")</f>
        <v/>
      </c>
      <c r="C4" s="46" t="inlineStr">
        <is>
          <t>3-yr saving (₹)</t>
        </is>
      </c>
      <c r="D4" s="47">
        <f>ABS('Vendor A - Yubi'!$C$24-'Vendor B - M2P'!$C$31)</f>
        <v/>
      </c>
      <c r="E4" s="48">
        <f>ABS('Vendor A - Yubi'!$D$24-'Vendor B - M2P'!$D$31)</f>
        <v/>
      </c>
    </row>
    <row r="5">
      <c r="A5" s="6" t="inlineStr">
        <is>
          <t>Lower Year-1 cost</t>
        </is>
      </c>
      <c r="B5" s="49">
        <f>IF('Vendor A - Yubi'!$C$21&lt;'Vendor B - M2P'!$C$28,"Yubi (Vendor A)","M2P (Vendor B)")</f>
        <v/>
      </c>
      <c r="C5" s="49" t="inlineStr">
        <is>
          <t>Yr-1 saving (₹)</t>
        </is>
      </c>
      <c r="D5" s="50">
        <f>ABS('Vendor A - Yubi'!$C$21-'Vendor B - M2P'!$C$28)</f>
        <v/>
      </c>
      <c r="E5" s="51">
        <f>ABS('Vendor A - Yubi'!$D$21-'Vendor B - M2P'!$D$28)</f>
        <v/>
      </c>
    </row>
    <row r="6">
      <c r="A6" s="52" t="inlineStr">
        <is>
          <t>Key driver</t>
        </is>
      </c>
      <c r="B6" s="53" t="inlineStr">
        <is>
          <t>Yubi recurring = 0.20% of disbursal (flat, tenor-independent). M2P recurring scales with AUM/tenor. See Sensitivity tab.</t>
        </is>
      </c>
    </row>
    <row r="8">
      <c r="A8" s="4" t="inlineStr">
        <is>
          <t>ALL FIGURES IN INR  (₹)</t>
        </is>
      </c>
      <c r="B8" s="5" t="n"/>
      <c r="C8" s="5" t="n"/>
      <c r="D8" s="5" t="n"/>
      <c r="E8" s="5" t="n"/>
    </row>
    <row r="9">
      <c r="A9" s="15" t="inlineStr">
        <is>
          <t>Line item</t>
        </is>
      </c>
      <c r="B9" s="15" t="inlineStr">
        <is>
          <t>Frequency</t>
        </is>
      </c>
      <c r="C9" s="15" t="inlineStr">
        <is>
          <t>Yubi (A)</t>
        </is>
      </c>
      <c r="D9" s="15" t="inlineStr">
        <is>
          <t>M2P (B)</t>
        </is>
      </c>
      <c r="E9" s="15" t="inlineStr">
        <is>
          <t>Lower</t>
        </is>
      </c>
    </row>
    <row r="10">
      <c r="A10" s="20" t="inlineStr">
        <is>
          <t>Setup / one-time fees</t>
        </is>
      </c>
      <c r="B10" s="21" t="inlineStr">
        <is>
          <t>one-time</t>
        </is>
      </c>
      <c r="C10" s="22">
        <f>'Vendor A - Yubi'!$C$9</f>
        <v/>
      </c>
      <c r="D10" s="22">
        <f>'Vendor B - M2P'!$C$6</f>
        <v/>
      </c>
      <c r="E10" s="54">
        <f>IF(C10&lt;D10,"A",IF(C10&gt;D10,"B","="))</f>
        <v/>
      </c>
    </row>
    <row r="11">
      <c r="A11" s="16" t="inlineStr">
        <is>
          <t>Fixed annual fee (AMC)</t>
        </is>
      </c>
      <c r="B11" s="17" t="inlineStr">
        <is>
          <t>per year</t>
        </is>
      </c>
      <c r="C11" s="18">
        <f>'Vendor A - Yubi'!$C$12</f>
        <v/>
      </c>
      <c r="D11" s="18" t="n">
        <v>0</v>
      </c>
      <c r="E11" s="55">
        <f>IF(C11&lt;D11,"A",IF(C11&gt;D11,"B","="))</f>
        <v/>
      </c>
    </row>
    <row r="12">
      <c r="A12" s="16" t="inlineStr">
        <is>
          <t>Variable platform fee</t>
        </is>
      </c>
      <c r="B12" s="17" t="inlineStr">
        <is>
          <t>per month</t>
        </is>
      </c>
      <c r="C12" s="18">
        <f>0.002*Assumptions!$B$19</f>
        <v/>
      </c>
      <c r="D12" s="18">
        <f>'Vendor B - M2P'!$C$17</f>
        <v/>
      </c>
      <c r="E12" s="55">
        <f>IF(C12&lt;D12,"A",IF(C12&gt;D12,"B","="))</f>
        <v/>
      </c>
    </row>
    <row r="13">
      <c r="A13" s="16" t="inlineStr">
        <is>
          <t>Variable platform fee</t>
        </is>
      </c>
      <c r="B13" s="17" t="inlineStr">
        <is>
          <t>per year</t>
        </is>
      </c>
      <c r="C13" s="18">
        <f>'Vendor A - Yubi'!$C$13</f>
        <v/>
      </c>
      <c r="D13" s="18">
        <f>'Vendor B - M2P'!$C$21</f>
        <v/>
      </c>
      <c r="E13" s="55">
        <f>IF(C13&lt;D13,"A",IF(C13&gt;D13,"B","="))</f>
        <v/>
      </c>
    </row>
    <row r="14">
      <c r="A14" s="20" t="inlineStr">
        <is>
          <t>Recurring total / year</t>
        </is>
      </c>
      <c r="B14" s="21" t="inlineStr">
        <is>
          <t>per year</t>
        </is>
      </c>
      <c r="C14" s="22">
        <f>'Vendor A - Yubi'!$C$14</f>
        <v/>
      </c>
      <c r="D14" s="22">
        <f>'Vendor B - M2P'!$C$21</f>
        <v/>
      </c>
      <c r="E14" s="54">
        <f>IF(C14&lt;D14,"A",IF(C14&gt;D14,"B","="))</f>
        <v/>
      </c>
    </row>
    <row r="15">
      <c r="A15" s="56" t="inlineStr">
        <is>
          <t>Billed on actuals (excluded)</t>
        </is>
      </c>
      <c r="B15" s="8" t="inlineStr">
        <is>
          <t>Yubi: AA/3rd-party APIs + change requests @₹20k/man-day. M2P: SMS/telephony + customization @₹17k/man-day.</t>
        </is>
      </c>
    </row>
    <row r="16">
      <c r="A16" s="26" t="inlineStr">
        <is>
          <t>YEAR 1 TOTAL INVESTMENT</t>
        </is>
      </c>
      <c r="B16" s="27" t="inlineStr">
        <is>
          <t>Year 1</t>
        </is>
      </c>
      <c r="C16" s="28">
        <f>'Vendor A - Yubi'!$C$21</f>
        <v/>
      </c>
      <c r="D16" s="28">
        <f>'Vendor B - M2P'!$C$28</f>
        <v/>
      </c>
      <c r="E16" s="57">
        <f>IF(C16&lt;D16,"A",IF(C16&gt;D16,"B","="))</f>
        <v/>
      </c>
    </row>
    <row r="17">
      <c r="A17" s="26" t="inlineStr">
        <is>
          <t>3-YEAR TCO</t>
        </is>
      </c>
      <c r="B17" s="27" t="inlineStr">
        <is>
          <t>horizon</t>
        </is>
      </c>
      <c r="C17" s="28">
        <f>'Vendor A - Yubi'!$C$24</f>
        <v/>
      </c>
      <c r="D17" s="28">
        <f>'Vendor B - M2P'!$C$31</f>
        <v/>
      </c>
      <c r="E17" s="57">
        <f>IF(C17&lt;D17,"A",IF(C17&gt;D17,"B","="))</f>
        <v/>
      </c>
    </row>
    <row r="19">
      <c r="A19" s="4" t="inlineStr">
        <is>
          <t>ALL FIGURES IN EUR  (€)</t>
        </is>
      </c>
      <c r="B19" s="5" t="n"/>
      <c r="C19" s="5" t="n"/>
      <c r="D19" s="5" t="n"/>
      <c r="E19" s="5" t="n"/>
    </row>
    <row r="20">
      <c r="A20" s="15" t="inlineStr">
        <is>
          <t>Line item</t>
        </is>
      </c>
      <c r="B20" s="15" t="inlineStr">
        <is>
          <t>Frequency</t>
        </is>
      </c>
      <c r="C20" s="15" t="inlineStr">
        <is>
          <t>Yubi (A)</t>
        </is>
      </c>
      <c r="D20" s="15" t="inlineStr">
        <is>
          <t>M2P (B)</t>
        </is>
      </c>
      <c r="E20" s="15" t="inlineStr">
        <is>
          <t>Lower</t>
        </is>
      </c>
    </row>
    <row r="21">
      <c r="A21" s="20" t="inlineStr">
        <is>
          <t>Setup / one-time fees</t>
        </is>
      </c>
      <c r="B21" s="21" t="inlineStr">
        <is>
          <t>one-time</t>
        </is>
      </c>
      <c r="C21" s="23">
        <f>'Vendor A - Yubi'!$D$9</f>
        <v/>
      </c>
      <c r="D21" s="23">
        <f>'Vendor B - M2P'!$D$6</f>
        <v/>
      </c>
      <c r="E21" s="54">
        <f>IF(C21&lt;D21,"A",IF(C21&gt;D21,"B","="))</f>
        <v/>
      </c>
    </row>
    <row r="22">
      <c r="A22" s="16" t="inlineStr">
        <is>
          <t>Fixed annual fee (AMC)</t>
        </is>
      </c>
      <c r="B22" s="17" t="inlineStr">
        <is>
          <t>per year</t>
        </is>
      </c>
      <c r="C22" s="19">
        <f>'Vendor A - Yubi'!$D$12</f>
        <v/>
      </c>
      <c r="D22" s="19" t="n">
        <v>0</v>
      </c>
      <c r="E22" s="55">
        <f>IF(C22&lt;D22,"A",IF(C22&gt;D22,"B","="))</f>
        <v/>
      </c>
    </row>
    <row r="23">
      <c r="A23" s="16" t="inlineStr">
        <is>
          <t>Variable platform fee</t>
        </is>
      </c>
      <c r="B23" s="17" t="inlineStr">
        <is>
          <t>per month</t>
        </is>
      </c>
      <c r="C23" s="19">
        <f>0.002*Assumptions!$B$18</f>
        <v/>
      </c>
      <c r="D23" s="19">
        <f>'Vendor B - M2P'!$D$17</f>
        <v/>
      </c>
      <c r="E23" s="55">
        <f>IF(C23&lt;D23,"A",IF(C23&gt;D23,"B","="))</f>
        <v/>
      </c>
    </row>
    <row r="24">
      <c r="A24" s="16" t="inlineStr">
        <is>
          <t>Variable platform fee</t>
        </is>
      </c>
      <c r="B24" s="17" t="inlineStr">
        <is>
          <t>per year</t>
        </is>
      </c>
      <c r="C24" s="19">
        <f>'Vendor A - Yubi'!$D$13</f>
        <v/>
      </c>
      <c r="D24" s="19">
        <f>'Vendor B - M2P'!$D$21</f>
        <v/>
      </c>
      <c r="E24" s="55">
        <f>IF(C24&lt;D24,"A",IF(C24&gt;D24,"B","="))</f>
        <v/>
      </c>
    </row>
    <row r="25">
      <c r="A25" s="20" t="inlineStr">
        <is>
          <t>Recurring total / year</t>
        </is>
      </c>
      <c r="B25" s="21" t="inlineStr">
        <is>
          <t>per year</t>
        </is>
      </c>
      <c r="C25" s="23">
        <f>'Vendor A - Yubi'!$D$14</f>
        <v/>
      </c>
      <c r="D25" s="23">
        <f>'Vendor B - M2P'!$D$21</f>
        <v/>
      </c>
      <c r="E25" s="54">
        <f>IF(C25&lt;D25,"A",IF(C25&gt;D25,"B","="))</f>
        <v/>
      </c>
    </row>
    <row r="26">
      <c r="A26" s="56" t="inlineStr">
        <is>
          <t>Billed on actuals (excluded)</t>
        </is>
      </c>
      <c r="B26" s="8" t="inlineStr">
        <is>
          <t>Yubi: AA/3rd-party APIs + change requests @₹20k/man-day. M2P: SMS/telephony + customization @₹17k/man-day.</t>
        </is>
      </c>
    </row>
    <row r="27">
      <c r="A27" s="26" t="inlineStr">
        <is>
          <t>YEAR 1 TOTAL INVESTMENT</t>
        </is>
      </c>
      <c r="B27" s="27" t="inlineStr">
        <is>
          <t>Year 1</t>
        </is>
      </c>
      <c r="C27" s="29">
        <f>'Vendor A - Yubi'!$D$21</f>
        <v/>
      </c>
      <c r="D27" s="29">
        <f>'Vendor B - M2P'!$D$28</f>
        <v/>
      </c>
      <c r="E27" s="57">
        <f>IF(C27&lt;D27,"A",IF(C27&gt;D27,"B","="))</f>
        <v/>
      </c>
    </row>
    <row r="28">
      <c r="A28" s="26" t="inlineStr">
        <is>
          <t>3-YEAR TCO</t>
        </is>
      </c>
      <c r="B28" s="27" t="inlineStr">
        <is>
          <t>horizon</t>
        </is>
      </c>
      <c r="C28" s="29">
        <f>'Vendor A - Yubi'!$D$24</f>
        <v/>
      </c>
      <c r="D28" s="29">
        <f>'Vendor B - M2P'!$D$31</f>
        <v/>
      </c>
      <c r="E28" s="57">
        <f>IF(C28&lt;D28,"A",IF(C28&gt;D28,"B","="))</f>
        <v/>
      </c>
    </row>
  </sheetData>
  <mergeCells count="7">
    <mergeCell ref="B26:E26"/>
    <mergeCell ref="B6:E6"/>
    <mergeCell ref="A19:E19"/>
    <mergeCell ref="B15:E15"/>
    <mergeCell ref="A1:E1"/>
    <mergeCell ref="A8:E8"/>
    <mergeCell ref="A3:E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9000"/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SENSITIVITY  —  recurring cost vs loan tenor &amp; book amortisation (€/yr)</t>
        </is>
      </c>
      <c r="B1" s="2" t="n"/>
      <c r="C1" s="2" t="n"/>
      <c r="D1" s="2" t="n"/>
      <c r="E1" s="2" t="n"/>
    </row>
    <row r="2">
      <c r="A2" s="3" t="inlineStr">
        <is>
          <t>Yubi recurring is flat (0.20% of disbursal, tenor-independent). M2P recurring scales with AUM.</t>
        </is>
      </c>
    </row>
    <row r="4">
      <c r="A4" s="15" t="inlineStr">
        <is>
          <t>Avg tenor (months)</t>
        </is>
      </c>
      <c r="B4" s="15" t="inlineStr">
        <is>
          <t>M2P — bullet (factor 1.0)</t>
        </is>
      </c>
      <c r="C4" s="15" t="inlineStr">
        <is>
          <t>M2P — amortising (factor 0.55)</t>
        </is>
      </c>
      <c r="D4" s="15" t="inlineStr">
        <is>
          <t>Yubi (flat)</t>
        </is>
      </c>
      <c r="E4" s="15" t="inlineStr">
        <is>
          <t>Lower (amort. case)</t>
        </is>
      </c>
    </row>
    <row r="5">
      <c r="A5" s="49" t="n">
        <v>3</v>
      </c>
      <c r="B5" s="19">
        <f>12*MAX((MAX(0,MIN((Assumptions!$B$7*(3/12)*1.0/10000000),250))*10000000*0.000250+MAX(0,MIN((Assumptions!$B$7*(3/12)*1.0/10000000),750)-250)*10000000*0.000225+MAX(0,MIN((Assumptions!$B$7*(3/12)*1.0/10000000),1500)-750)*10000000*0.000175+MAX(0,MIN((Assumptions!$B$7*(3/12)*1.0/10000000),2500)-1500)*10000000*0.000125+MAX(0,(Assumptions!$B$7*(3/12)*1.0/10000000)-2500)*10000000*0.000085),Assumptions!$B$23)/Assumptions!$B$5</f>
        <v/>
      </c>
      <c r="C5" s="19">
        <f>12*MAX((MAX(0,MIN((Assumptions!$B$7*(3/12)*0.55/10000000),250))*10000000*0.000250+MAX(0,MIN((Assumptions!$B$7*(3/12)*0.55/10000000),750)-250)*10000000*0.000225+MAX(0,MIN((Assumptions!$B$7*(3/12)*0.55/10000000),1500)-750)*10000000*0.000175+MAX(0,MIN((Assumptions!$B$7*(3/12)*0.55/10000000),2500)-1500)*10000000*0.000125+MAX(0,(Assumptions!$B$7*(3/12)*0.55/10000000)-2500)*10000000*0.000085),Assumptions!$B$23)/Assumptions!$B$5</f>
        <v/>
      </c>
      <c r="D5" s="19">
        <f>0.002*Assumptions!$B$6</f>
        <v/>
      </c>
      <c r="E5" s="55">
        <f>IF(C5&lt;D5,"M2P","Yubi")</f>
        <v/>
      </c>
    </row>
    <row r="6">
      <c r="A6" s="49" t="n">
        <v>6</v>
      </c>
      <c r="B6" s="19">
        <f>12*MAX((MAX(0,MIN((Assumptions!$B$7*(6/12)*1.0/10000000),250))*10000000*0.000250+MAX(0,MIN((Assumptions!$B$7*(6/12)*1.0/10000000),750)-250)*10000000*0.000225+MAX(0,MIN((Assumptions!$B$7*(6/12)*1.0/10000000),1500)-750)*10000000*0.000175+MAX(0,MIN((Assumptions!$B$7*(6/12)*1.0/10000000),2500)-1500)*10000000*0.000125+MAX(0,(Assumptions!$B$7*(6/12)*1.0/10000000)-2500)*10000000*0.000085),Assumptions!$B$23)/Assumptions!$B$5</f>
        <v/>
      </c>
      <c r="C6" s="19">
        <f>12*MAX((MAX(0,MIN((Assumptions!$B$7*(6/12)*0.55/10000000),250))*10000000*0.000250+MAX(0,MIN((Assumptions!$B$7*(6/12)*0.55/10000000),750)-250)*10000000*0.000225+MAX(0,MIN((Assumptions!$B$7*(6/12)*0.55/10000000),1500)-750)*10000000*0.000175+MAX(0,MIN((Assumptions!$B$7*(6/12)*0.55/10000000),2500)-1500)*10000000*0.000125+MAX(0,(Assumptions!$B$7*(6/12)*0.55/10000000)-2500)*10000000*0.000085),Assumptions!$B$23)/Assumptions!$B$5</f>
        <v/>
      </c>
      <c r="D6" s="19">
        <f>0.002*Assumptions!$B$6</f>
        <v/>
      </c>
      <c r="E6" s="55">
        <f>IF(C6&lt;D6,"M2P","Yubi")</f>
        <v/>
      </c>
    </row>
    <row r="7">
      <c r="A7" s="49" t="n">
        <v>9</v>
      </c>
      <c r="B7" s="19">
        <f>12*MAX((MAX(0,MIN((Assumptions!$B$7*(9/12)*1.0/10000000),250))*10000000*0.000250+MAX(0,MIN((Assumptions!$B$7*(9/12)*1.0/10000000),750)-250)*10000000*0.000225+MAX(0,MIN((Assumptions!$B$7*(9/12)*1.0/10000000),1500)-750)*10000000*0.000175+MAX(0,MIN((Assumptions!$B$7*(9/12)*1.0/10000000),2500)-1500)*10000000*0.000125+MAX(0,(Assumptions!$B$7*(9/12)*1.0/10000000)-2500)*10000000*0.000085),Assumptions!$B$23)/Assumptions!$B$5</f>
        <v/>
      </c>
      <c r="C7" s="19">
        <f>12*MAX((MAX(0,MIN((Assumptions!$B$7*(9/12)*0.55/10000000),250))*10000000*0.000250+MAX(0,MIN((Assumptions!$B$7*(9/12)*0.55/10000000),750)-250)*10000000*0.000225+MAX(0,MIN((Assumptions!$B$7*(9/12)*0.55/10000000),1500)-750)*10000000*0.000175+MAX(0,MIN((Assumptions!$B$7*(9/12)*0.55/10000000),2500)-1500)*10000000*0.000125+MAX(0,(Assumptions!$B$7*(9/12)*0.55/10000000)-2500)*10000000*0.000085),Assumptions!$B$23)/Assumptions!$B$5</f>
        <v/>
      </c>
      <c r="D7" s="19">
        <f>0.002*Assumptions!$B$6</f>
        <v/>
      </c>
      <c r="E7" s="55">
        <f>IF(C7&lt;D7,"M2P","Yubi")</f>
        <v/>
      </c>
    </row>
    <row r="8">
      <c r="A8" s="49" t="n">
        <v>12</v>
      </c>
      <c r="B8" s="19">
        <f>12*MAX((MAX(0,MIN((Assumptions!$B$7*(12/12)*1.0/10000000),250))*10000000*0.000250+MAX(0,MIN((Assumptions!$B$7*(12/12)*1.0/10000000),750)-250)*10000000*0.000225+MAX(0,MIN((Assumptions!$B$7*(12/12)*1.0/10000000),1500)-750)*10000000*0.000175+MAX(0,MIN((Assumptions!$B$7*(12/12)*1.0/10000000),2500)-1500)*10000000*0.000125+MAX(0,(Assumptions!$B$7*(12/12)*1.0/10000000)-2500)*10000000*0.000085),Assumptions!$B$23)/Assumptions!$B$5</f>
        <v/>
      </c>
      <c r="C8" s="19">
        <f>12*MAX((MAX(0,MIN((Assumptions!$B$7*(12/12)*0.55/10000000),250))*10000000*0.000250+MAX(0,MIN((Assumptions!$B$7*(12/12)*0.55/10000000),750)-250)*10000000*0.000225+MAX(0,MIN((Assumptions!$B$7*(12/12)*0.55/10000000),1500)-750)*10000000*0.000175+MAX(0,MIN((Assumptions!$B$7*(12/12)*0.55/10000000),2500)-1500)*10000000*0.000125+MAX(0,(Assumptions!$B$7*(12/12)*0.55/10000000)-2500)*10000000*0.000085),Assumptions!$B$23)/Assumptions!$B$5</f>
        <v/>
      </c>
      <c r="D8" s="19">
        <f>0.002*Assumptions!$B$6</f>
        <v/>
      </c>
      <c r="E8" s="55">
        <f>IF(C8&lt;D8,"M2P","Yubi")</f>
        <v/>
      </c>
    </row>
    <row r="10">
      <c r="A10" s="3" t="inlineStr">
        <is>
          <t>Reads: at the agreed 3–6 mo tenor M2P's AUM-based recurring sits well below Yubi's flat €200k/yr; the gap narrows as tenor (and book) grows.</t>
        </is>
      </c>
    </row>
  </sheetData>
  <mergeCells count="2">
    <mergeCell ref="A1:E1"/>
    <mergeCell ref="A10:E1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08080"/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54" customWidth="1" min="5" max="5"/>
  </cols>
  <sheetData>
    <row r="1">
      <c r="A1" s="1" t="inlineStr">
        <is>
          <t>QUALITATIVE SCORECARD  (optional)  —  fill scores 1–5 in the shaded cells</t>
        </is>
      </c>
      <c r="B1" s="2" t="n"/>
      <c r="C1" s="2" t="n"/>
      <c r="D1" s="2" t="n"/>
      <c r="E1" s="2" t="n"/>
    </row>
    <row r="2">
      <c r="A2" s="3" t="inlineStr">
        <is>
          <t>Pricing lives in the Comparison tab. This mirrors the scorecard template's weighted rollup for a fuller view.</t>
        </is>
      </c>
    </row>
    <row r="4">
      <c r="A4" s="58" t="inlineStr">
        <is>
          <t>Criteria</t>
        </is>
      </c>
      <c r="B4" s="15" t="inlineStr">
        <is>
          <t>Weight</t>
        </is>
      </c>
      <c r="C4" s="15" t="inlineStr">
        <is>
          <t>Yubi (A)</t>
        </is>
      </c>
      <c r="D4" s="15" t="inlineStr">
        <is>
          <t>M2P (B)</t>
        </is>
      </c>
      <c r="E4" s="58" t="inlineStr">
        <is>
          <t>Notes / basis for score</t>
        </is>
      </c>
    </row>
    <row r="5">
      <c r="A5" s="16" t="inlineStr">
        <is>
          <t>1. Adherence to RFP Instructions</t>
        </is>
      </c>
      <c r="B5" s="11" t="n">
        <v>0.05</v>
      </c>
      <c r="C5" s="59" t="n">
        <v>3</v>
      </c>
      <c r="D5" s="59" t="n">
        <v>3</v>
      </c>
      <c r="E5" s="16" t="inlineStr"/>
    </row>
    <row r="6">
      <c r="A6" s="16" t="inlineStr">
        <is>
          <t>2. Company Information</t>
        </is>
      </c>
      <c r="B6" s="11" t="n">
        <v>0.05</v>
      </c>
      <c r="C6" s="59" t="n">
        <v>3</v>
      </c>
      <c r="D6" s="59" t="n">
        <v>3</v>
      </c>
      <c r="E6" s="16" t="inlineStr"/>
    </row>
    <row r="7">
      <c r="A7" s="16" t="inlineStr">
        <is>
          <t>3. Project Understanding</t>
        </is>
      </c>
      <c r="B7" s="11" t="n">
        <v>0.2</v>
      </c>
      <c r="C7" s="59" t="n">
        <v>3</v>
      </c>
      <c r="D7" s="59" t="n">
        <v>3</v>
      </c>
      <c r="E7" s="16" t="inlineStr"/>
    </row>
    <row r="8">
      <c r="A8" s="16" t="inlineStr">
        <is>
          <t>4. Requirements</t>
        </is>
      </c>
      <c r="B8" s="11" t="n">
        <v>0.3</v>
      </c>
      <c r="C8" s="59" t="n">
        <v>3</v>
      </c>
      <c r="D8" s="59" t="n">
        <v>3</v>
      </c>
      <c r="E8" s="16" t="inlineStr"/>
    </row>
    <row r="9">
      <c r="A9" s="16" t="inlineStr">
        <is>
          <t>5. Product Viability &amp; History</t>
        </is>
      </c>
      <c r="B9" s="11" t="n">
        <v>0.05</v>
      </c>
      <c r="C9" s="59" t="n">
        <v>3</v>
      </c>
      <c r="D9" s="59" t="n">
        <v>3</v>
      </c>
      <c r="E9" s="16" t="inlineStr"/>
    </row>
    <row r="10">
      <c r="A10" s="16" t="inlineStr">
        <is>
          <t>6. Terms &amp; Conditions</t>
        </is>
      </c>
      <c r="B10" s="11" t="n">
        <v>0.05</v>
      </c>
      <c r="C10" s="59" t="n">
        <v>3</v>
      </c>
      <c r="D10" s="59" t="n">
        <v>3</v>
      </c>
      <c r="E10" s="16" t="inlineStr"/>
    </row>
    <row r="11">
      <c r="A11" s="16" t="inlineStr">
        <is>
          <t>7. Vendor Software Demonstration</t>
        </is>
      </c>
      <c r="B11" s="11" t="n">
        <v>0.25</v>
      </c>
      <c r="C11" s="59" t="n">
        <v>3</v>
      </c>
      <c r="D11" s="59" t="n">
        <v>3</v>
      </c>
      <c r="E11" s="16" t="inlineStr"/>
    </row>
    <row r="12">
      <c r="A12" s="16" t="inlineStr">
        <is>
          <t>8. Fee Summary</t>
        </is>
      </c>
      <c r="B12" s="11" t="n">
        <v>0.05</v>
      </c>
      <c r="C12" s="59" t="n">
        <v>3</v>
      </c>
      <c r="D12" s="59" t="n">
        <v>3</v>
      </c>
      <c r="E12" s="16" t="inlineStr"/>
    </row>
    <row r="13">
      <c r="A13" s="12" t="inlineStr">
        <is>
          <t>Weight check (must = 1.00)</t>
        </is>
      </c>
      <c r="B13" s="60">
        <f>SUM(B5:B12)</f>
        <v/>
      </c>
      <c r="C13" s="61" t="inlineStr"/>
      <c r="D13" s="61" t="inlineStr"/>
      <c r="E13" s="61" t="inlineStr"/>
    </row>
    <row r="14">
      <c r="A14" s="26" t="inlineStr">
        <is>
          <t>WEIGHTED TOTAL SCORE</t>
        </is>
      </c>
      <c r="B14" s="62" t="inlineStr"/>
      <c r="C14" s="63">
        <f>SUMPRODUCT(B5:B11,C5:C11)</f>
        <v/>
      </c>
      <c r="D14" s="63">
        <f>SUMPRODUCT(B5:B11,D5:D11)</f>
        <v/>
      </c>
      <c r="E14" s="64" t="inlineStr">
        <is>
          <t>Higher = better.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2026-06-28T11:39:11Z</dcterms:created>
  <dcterms:modified xmlns:dcterms="http://purl.org/dc/terms/" xmlns:xsi="http://www.w3.org/2001/XMLSchema-instance" xsi:type="dcterms:W3CDTF">2026-06-28T11:39:12Z</dcterms:modified>
</cp:coreProperties>
</file>